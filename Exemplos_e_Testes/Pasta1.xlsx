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tor\Desktop\"/>
    </mc:Choice>
  </mc:AlternateContent>
  <xr:revisionPtr revIDLastSave="0" documentId="13_ncr:1_{E263BFA3-B30E-4BE2-B2DC-72EDFFDD8EC6}" xr6:coauthVersionLast="47" xr6:coauthVersionMax="47" xr10:uidLastSave="{00000000-0000-0000-0000-000000000000}"/>
  <bookViews>
    <workbookView xWindow="-108" yWindow="-108" windowWidth="23256" windowHeight="12456" xr2:uid="{8EBB23E2-14E0-4986-B715-E3551897C22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1" l="1"/>
  <c r="D39" i="1"/>
  <c r="G30" i="1"/>
  <c r="G31" i="1"/>
  <c r="G20" i="1"/>
  <c r="G28" i="1"/>
  <c r="G34" i="1"/>
  <c r="G18" i="1"/>
  <c r="G22" i="1"/>
  <c r="G26" i="1"/>
  <c r="G38" i="1"/>
  <c r="G23" i="1"/>
  <c r="G37" i="1"/>
  <c r="G21" i="1"/>
  <c r="G36" i="1"/>
  <c r="G35" i="1"/>
  <c r="G27" i="1"/>
  <c r="G25" i="1"/>
  <c r="G13" i="1"/>
  <c r="G32" i="1"/>
  <c r="G12" i="1"/>
  <c r="G29" i="1"/>
  <c r="G15" i="1"/>
  <c r="G17" i="1"/>
  <c r="G16" i="1"/>
  <c r="G33" i="1"/>
  <c r="G19" i="1"/>
  <c r="G14" i="1"/>
  <c r="F16" i="1"/>
  <c r="F33" i="1"/>
  <c r="F19" i="1"/>
  <c r="F14" i="1"/>
  <c r="F13" i="1"/>
  <c r="F32" i="1"/>
  <c r="F2" i="1"/>
  <c r="F12" i="1"/>
  <c r="F29" i="1"/>
  <c r="F15" i="1"/>
  <c r="F17" i="1"/>
  <c r="F30" i="1"/>
  <c r="F10" i="1"/>
  <c r="F7" i="1"/>
  <c r="F9" i="1"/>
  <c r="F6" i="1"/>
  <c r="F31" i="1"/>
  <c r="F20" i="1"/>
  <c r="F28" i="1"/>
  <c r="F8" i="1"/>
  <c r="F5" i="1"/>
  <c r="F11" i="1"/>
  <c r="F34" i="1"/>
  <c r="F18" i="1"/>
  <c r="F4" i="1"/>
  <c r="F22" i="1"/>
  <c r="F26" i="1"/>
  <c r="F3" i="1"/>
  <c r="F38" i="1"/>
  <c r="F23" i="1"/>
  <c r="F37" i="1"/>
  <c r="F21" i="1"/>
  <c r="F36" i="1"/>
  <c r="F35" i="1"/>
  <c r="F27" i="1"/>
  <c r="F25" i="1"/>
  <c r="G24" i="1"/>
  <c r="F24" i="1"/>
  <c r="G10" i="1"/>
  <c r="G8" i="1" l="1"/>
  <c r="G11" i="1"/>
  <c r="G5" i="1"/>
  <c r="G6" i="1"/>
  <c r="G3" i="1"/>
  <c r="G2" i="1"/>
  <c r="G9" i="1"/>
  <c r="G7" i="1"/>
  <c r="G4" i="1"/>
</calcChain>
</file>

<file path=xl/sharedStrings.xml><?xml version="1.0" encoding="utf-8"?>
<sst xmlns="http://schemas.openxmlformats.org/spreadsheetml/2006/main" count="47" uniqueCount="47">
  <si>
    <t>Item</t>
  </si>
  <si>
    <t>Quantidade</t>
  </si>
  <si>
    <t>Total</t>
  </si>
  <si>
    <t>Caixas</t>
  </si>
  <si>
    <t>Quantidade por Caixa</t>
  </si>
  <si>
    <t>Confere</t>
  </si>
  <si>
    <t>Volumes</t>
  </si>
  <si>
    <t>Lixeira 3506</t>
  </si>
  <si>
    <t>Suporte Ferro PRETO</t>
  </si>
  <si>
    <t>Flick PRETO</t>
  </si>
  <si>
    <t>Mini Torno</t>
  </si>
  <si>
    <t>Rack Estante Lavanderia PRETO 2</t>
  </si>
  <si>
    <t>Lixeira 3543</t>
  </si>
  <si>
    <t>Varal de Teto Aço BRANCO</t>
  </si>
  <si>
    <t>Fita Antiderrapante 50mm x 5m</t>
  </si>
  <si>
    <t>Lixeira 3500</t>
  </si>
  <si>
    <t>Lixeira 3478</t>
  </si>
  <si>
    <t>Rack Estante Lavanderia BRANCO 2</t>
  </si>
  <si>
    <t>Quem Fez?</t>
  </si>
  <si>
    <t>Rack Estante Lavanderia BRANCO</t>
  </si>
  <si>
    <t>Grampos Sargento C4 Kit 3</t>
  </si>
  <si>
    <t>Tapete Home Cinza 40x75cm</t>
  </si>
  <si>
    <t>Varal Polimax</t>
  </si>
  <si>
    <t>Refil C+3</t>
  </si>
  <si>
    <t>Rack Estante Lavanderia PRETO</t>
  </si>
  <si>
    <t>Varal Rotoflex 5 Cordas BRANCO</t>
  </si>
  <si>
    <t>Copo Tulipa 24 Peças</t>
  </si>
  <si>
    <t>Refil Avanti 1</t>
  </si>
  <si>
    <t>Refil Avanti 2</t>
  </si>
  <si>
    <t>Disco Telado Grão 180 Kit 20</t>
  </si>
  <si>
    <t>Tapete Sinta-se em Casa</t>
  </si>
  <si>
    <t xml:space="preserve">Varal Wick </t>
  </si>
  <si>
    <t>Varal 30m Manivela PRETO</t>
  </si>
  <si>
    <t xml:space="preserve">Tapete Protepiso </t>
  </si>
  <si>
    <t>Tapete Home Moldura</t>
  </si>
  <si>
    <t>Tapete Natural Rope 70x100cm</t>
  </si>
  <si>
    <t>Tapete Home Bege 40x60cm 2</t>
  </si>
  <si>
    <t>Tapete Home Bege 40x60cm 1</t>
  </si>
  <si>
    <t>Tapete Refugio</t>
  </si>
  <si>
    <t>Varal Miami BRANCO 1</t>
  </si>
  <si>
    <t>Varal Miami BRANCO 2</t>
  </si>
  <si>
    <t>Varal Miami PRETO 1</t>
  </si>
  <si>
    <t>Varal Miami PRETO 2</t>
  </si>
  <si>
    <t>Varal Miami BRANCO 3</t>
  </si>
  <si>
    <t>Varal Miami PRETO 3</t>
  </si>
  <si>
    <t xml:space="preserve"> </t>
  </si>
  <si>
    <t>Qualquer duvida consultar Pedrão 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</si>
</sst>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z val="14"/>
      </font>
      <alignment horizontal="center" vertical="center" textRotation="0" wrapText="0" indent="0" justifyLastLine="0" shrinkToFit="0" readingOrder="0"/>
    </dxf>
    <dxf>
      <font>
        <b/>
        <sz val="14"/>
      </font>
      <numFmt numFmtId="0" formatCode="General"/>
      <alignment horizontal="center" vertical="center" textRotation="0" wrapText="0" indent="0" justifyLastLine="0" shrinkToFit="0" readingOrder="0"/>
    </dxf>
    <dxf>
      <font>
        <sz val="14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z val="14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B3E70-4DBD-4ECF-B6B5-DC5A56462C5E}" name="Tabela1" displayName="Tabela1" ref="A1:G39" totalsRowCount="1" headerRowDxfId="15" dataDxfId="14">
  <autoFilter ref="A1:G38" xr:uid="{ED8B3E70-4DBD-4ECF-B6B5-DC5A56462C5E}"/>
  <sortState xmlns:xlrd2="http://schemas.microsoft.com/office/spreadsheetml/2017/richdata2" ref="A2:G38">
    <sortCondition descending="1" ref="A1:A38"/>
  </sortState>
  <tableColumns count="7">
    <tableColumn id="1" xr3:uid="{3A543CC5-011F-49CC-B434-5698A56BB644}" name="Item" totalsRowLabel="Total" dataDxfId="13" totalsRowDxfId="2"/>
    <tableColumn id="6" xr3:uid="{4440D2CB-6DC4-4152-8F1D-0F004D31267A}" name="Confere" totalsRowLabel=" " dataDxfId="12" totalsRowDxfId="6"/>
    <tableColumn id="9" xr3:uid="{623BC3C7-0661-4AC0-8621-291BBAF82841}" name="Quem Fez?" dataDxfId="11" totalsRowDxfId="5"/>
    <tableColumn id="3" xr3:uid="{F6B6CD97-19DC-4AFE-BCCD-1D0733D1D847}" name="Quantidade" totalsRowFunction="custom" dataDxfId="10" totalsRowDxfId="1">
      <totalsRowFormula>SUM(Tabela1[Quantidade])</totalsRowFormula>
    </tableColumn>
    <tableColumn id="5" xr3:uid="{AEE2BF9B-0467-4122-B9B1-81D98AA863F1}" name="Caixas" totalsRowFunction="custom" dataDxfId="9" totalsRowDxfId="4">
      <totalsRowFormula>SUM(Tabela1[Caixas])</totalsRowFormula>
    </tableColumn>
    <tableColumn id="2" xr3:uid="{7F2955F8-CD4E-4F8B-A384-1A412D11B219}" name="Quantidade por Caixa" totalsRowLabel="Qualquer duvida consultar Pedrão ❤" dataDxfId="8" totalsRowDxfId="0"/>
    <tableColumn id="7" xr3:uid="{7456F847-D23C-4218-876C-B1CF5817D8DC}" name="Volumes" dataDxfId="7" totalsRow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6EE0-A2AF-4990-A93D-BE20D4FFFD5D}">
  <sheetPr>
    <pageSetUpPr fitToPage="1"/>
  </sheetPr>
  <dimension ref="A1:G39"/>
  <sheetViews>
    <sheetView tabSelected="1" topLeftCell="A19" zoomScale="85" zoomScaleNormal="85" workbookViewId="0">
      <selection activeCell="G45" sqref="G45"/>
    </sheetView>
  </sheetViews>
  <sheetFormatPr defaultRowHeight="14.4" x14ac:dyDescent="0.3"/>
  <cols>
    <col min="1" max="1" width="61.21875" customWidth="1"/>
    <col min="2" max="2" width="14.5546875" customWidth="1"/>
    <col min="3" max="3" width="37.88671875" customWidth="1"/>
    <col min="4" max="4" width="33.33203125" customWidth="1"/>
    <col min="5" max="5" width="46.77734375" customWidth="1"/>
    <col min="6" max="6" width="48.5546875" customWidth="1"/>
    <col min="7" max="7" width="14.33203125" customWidth="1"/>
  </cols>
  <sheetData>
    <row r="1" spans="1:7" ht="21.6" customHeight="1" x14ac:dyDescent="0.3">
      <c r="A1" s="2" t="s">
        <v>0</v>
      </c>
      <c r="B1" s="2" t="s">
        <v>5</v>
      </c>
      <c r="C1" s="2" t="s">
        <v>18</v>
      </c>
      <c r="D1" s="2" t="s">
        <v>1</v>
      </c>
      <c r="E1" s="2" t="s">
        <v>3</v>
      </c>
      <c r="F1" s="2" t="s">
        <v>4</v>
      </c>
      <c r="G1" s="2" t="s">
        <v>6</v>
      </c>
    </row>
    <row r="2" spans="1:7" ht="21.6" customHeight="1" x14ac:dyDescent="0.3">
      <c r="A2" s="3" t="s">
        <v>31</v>
      </c>
      <c r="B2" s="6"/>
      <c r="C2" s="6"/>
      <c r="D2" s="2">
        <v>4</v>
      </c>
      <c r="E2" s="2">
        <v>1</v>
      </c>
      <c r="F2" s="4">
        <f>SUM(Tabela1[[#This Row],[Quantidade]]/Tabela1[[#This Row],[Caixas]])</f>
        <v>4</v>
      </c>
      <c r="G2" s="5" t="str">
        <f>SUM($E$1:E1)+1 &amp; " - " &amp; SUM($E$2:E2)</f>
        <v>1 - 1</v>
      </c>
    </row>
    <row r="3" spans="1:7" ht="21.6" customHeight="1" x14ac:dyDescent="0.3">
      <c r="A3" s="3" t="s">
        <v>25</v>
      </c>
      <c r="B3" s="6"/>
      <c r="C3" s="6"/>
      <c r="D3" s="2">
        <v>24</v>
      </c>
      <c r="E3" s="2">
        <v>4</v>
      </c>
      <c r="F3" s="4">
        <f>SUM(Tabela1[[#This Row],[Quantidade]]/Tabela1[[#This Row],[Caixas]])</f>
        <v>6</v>
      </c>
      <c r="G3" s="5" t="str">
        <f>SUM($E$1:E2)+1 &amp; " - " &amp; SUM($E$2:E3)</f>
        <v>2 - 5</v>
      </c>
    </row>
    <row r="4" spans="1:7" ht="21.6" customHeight="1" x14ac:dyDescent="0.3">
      <c r="A4" s="3" t="s">
        <v>22</v>
      </c>
      <c r="B4" s="6"/>
      <c r="C4" s="6"/>
      <c r="D4" s="2">
        <v>36</v>
      </c>
      <c r="E4" s="2">
        <v>6</v>
      </c>
      <c r="F4" s="4">
        <f>SUM(Tabela1[[#This Row],[Quantidade]]/Tabela1[[#This Row],[Caixas]])</f>
        <v>6</v>
      </c>
      <c r="G4" s="5" t="str">
        <f>SUM($E$1:E3)+1 &amp; " - " &amp; SUM($E$2:E4)</f>
        <v>6 - 11</v>
      </c>
    </row>
    <row r="5" spans="1:7" ht="21.6" customHeight="1" x14ac:dyDescent="0.3">
      <c r="A5" s="3" t="s">
        <v>44</v>
      </c>
      <c r="B5" s="3"/>
      <c r="C5" s="6"/>
      <c r="D5" s="2">
        <v>100</v>
      </c>
      <c r="E5" s="2">
        <v>16</v>
      </c>
      <c r="F5" s="4">
        <f>SUM(Tabela1[[#This Row],[Quantidade]]/Tabela1[[#This Row],[Caixas]])</f>
        <v>6.25</v>
      </c>
      <c r="G5" s="5" t="str">
        <f>SUM($E$1:E4)+1 &amp; " - " &amp; SUM($E$2:E5)</f>
        <v>12 - 27</v>
      </c>
    </row>
    <row r="6" spans="1:7" ht="21.6" customHeight="1" x14ac:dyDescent="0.3">
      <c r="A6" s="3" t="s">
        <v>42</v>
      </c>
      <c r="B6" s="3"/>
      <c r="C6" s="6"/>
      <c r="D6" s="2">
        <v>100</v>
      </c>
      <c r="E6" s="2">
        <v>17</v>
      </c>
      <c r="F6" s="4">
        <f>SUM(Tabela1[[#This Row],[Quantidade]]/Tabela1[[#This Row],[Caixas]])</f>
        <v>5.882352941176471</v>
      </c>
      <c r="G6" s="5" t="str">
        <f>SUM($E$1:E5)+1 &amp; " - " &amp; SUM($E$2:E6)</f>
        <v>28 - 44</v>
      </c>
    </row>
    <row r="7" spans="1:7" ht="21.6" customHeight="1" x14ac:dyDescent="0.3">
      <c r="A7" s="3" t="s">
        <v>41</v>
      </c>
      <c r="B7" s="3"/>
      <c r="C7" s="6"/>
      <c r="D7" s="2">
        <v>100</v>
      </c>
      <c r="E7" s="2">
        <v>17</v>
      </c>
      <c r="F7" s="4">
        <f>SUM(Tabela1[[#This Row],[Quantidade]]/Tabela1[[#This Row],[Caixas]])</f>
        <v>5.882352941176471</v>
      </c>
      <c r="G7" s="5" t="str">
        <f>SUM($E$1:E6)+1 &amp; " - " &amp; SUM($E$2:E7)</f>
        <v>45 - 61</v>
      </c>
    </row>
    <row r="8" spans="1:7" ht="21.6" customHeight="1" x14ac:dyDescent="0.3">
      <c r="A8" s="3" t="s">
        <v>43</v>
      </c>
      <c r="B8" s="3"/>
      <c r="C8" s="6"/>
      <c r="D8" s="2">
        <v>100</v>
      </c>
      <c r="E8" s="2">
        <v>16</v>
      </c>
      <c r="F8" s="4">
        <f>SUM(Tabela1[[#This Row],[Quantidade]]/Tabela1[[#This Row],[Caixas]])</f>
        <v>6.25</v>
      </c>
      <c r="G8" s="5" t="str">
        <f>SUM($E$1:E7)+1 &amp; " - " &amp; SUM($E$2:E8)</f>
        <v>62 - 77</v>
      </c>
    </row>
    <row r="9" spans="1:7" ht="21.6" customHeight="1" x14ac:dyDescent="0.3">
      <c r="A9" s="3" t="s">
        <v>40</v>
      </c>
      <c r="B9" s="3"/>
      <c r="C9" s="6"/>
      <c r="D9" s="2">
        <v>100</v>
      </c>
      <c r="E9" s="2">
        <v>17</v>
      </c>
      <c r="F9" s="4">
        <f>SUM(Tabela1[[#This Row],[Quantidade]]/Tabela1[[#This Row],[Caixas]])</f>
        <v>5.882352941176471</v>
      </c>
      <c r="G9" s="5" t="str">
        <f>SUM($E$1:E8)+1 &amp; " - " &amp; SUM($E$2:E9)</f>
        <v>78 - 94</v>
      </c>
    </row>
    <row r="10" spans="1:7" ht="21.6" customHeight="1" x14ac:dyDescent="0.3">
      <c r="A10" s="3" t="s">
        <v>39</v>
      </c>
      <c r="B10" s="3"/>
      <c r="C10" s="6"/>
      <c r="D10" s="2">
        <v>100</v>
      </c>
      <c r="E10" s="2">
        <v>17</v>
      </c>
      <c r="F10" s="4">
        <f>SUM(Tabela1[[#This Row],[Quantidade]]/Tabela1[[#This Row],[Caixas]])</f>
        <v>5.882352941176471</v>
      </c>
      <c r="G10" s="5" t="str">
        <f>SUM($E$1:E9)+1 &amp; " - " &amp; SUM($E$2:E10)</f>
        <v>95 - 111</v>
      </c>
    </row>
    <row r="11" spans="1:7" ht="21.6" customHeight="1" x14ac:dyDescent="0.3">
      <c r="A11" s="3" t="s">
        <v>13</v>
      </c>
      <c r="B11" s="6"/>
      <c r="C11" s="6"/>
      <c r="D11" s="2">
        <v>20</v>
      </c>
      <c r="E11" s="2">
        <v>2</v>
      </c>
      <c r="F11" s="4">
        <f>SUM(Tabela1[[#This Row],[Quantidade]]/Tabela1[[#This Row],[Caixas]])</f>
        <v>10</v>
      </c>
      <c r="G11" s="5" t="str">
        <f>SUM($E$1:E10)+1 &amp; " - " &amp; SUM($E$2:E11)</f>
        <v>112 - 113</v>
      </c>
    </row>
    <row r="12" spans="1:7" ht="21.6" customHeight="1" x14ac:dyDescent="0.3">
      <c r="A12" s="3" t="s">
        <v>32</v>
      </c>
      <c r="B12" s="6"/>
      <c r="C12" s="6"/>
      <c r="D12" s="2">
        <v>20</v>
      </c>
      <c r="E12" s="2">
        <v>1</v>
      </c>
      <c r="F12" s="4">
        <f>SUM(Tabela1[[#This Row],[Quantidade]]/Tabela1[[#This Row],[Caixas]])</f>
        <v>20</v>
      </c>
      <c r="G12" s="5" t="str">
        <f>SUM($E$1:E11)+1 &amp; " - " &amp; SUM($E$2:E12)</f>
        <v>114 - 114</v>
      </c>
    </row>
    <row r="13" spans="1:7" ht="21.6" customHeight="1" x14ac:dyDescent="0.3">
      <c r="A13" s="3" t="s">
        <v>30</v>
      </c>
      <c r="B13" s="6"/>
      <c r="C13" s="6"/>
      <c r="D13" s="2">
        <v>30</v>
      </c>
      <c r="E13" s="2">
        <v>1</v>
      </c>
      <c r="F13" s="4">
        <f>SUM(Tabela1[[#This Row],[Quantidade]]/Tabela1[[#This Row],[Caixas]])</f>
        <v>30</v>
      </c>
      <c r="G13" s="5" t="str">
        <f>SUM($E$1:E12)+1 &amp; " - " &amp; SUM($E$2:E13)</f>
        <v>115 - 115</v>
      </c>
    </row>
    <row r="14" spans="1:7" ht="21.6" customHeight="1" x14ac:dyDescent="0.3">
      <c r="A14" s="3" t="s">
        <v>38</v>
      </c>
      <c r="B14" s="6"/>
      <c r="C14" s="6"/>
      <c r="D14" s="2">
        <v>15</v>
      </c>
      <c r="E14" s="2">
        <v>1</v>
      </c>
      <c r="F14" s="4">
        <f>SUM(Tabela1[[#This Row],[Quantidade]]/Tabela1[[#This Row],[Caixas]])</f>
        <v>15</v>
      </c>
      <c r="G14" s="5" t="str">
        <f>SUM($E$1:E13)+1 &amp; " - " &amp; SUM($E$2:E14)</f>
        <v>116 - 116</v>
      </c>
    </row>
    <row r="15" spans="1:7" ht="21.6" customHeight="1" x14ac:dyDescent="0.3">
      <c r="A15" s="3" t="s">
        <v>33</v>
      </c>
      <c r="B15" s="6"/>
      <c r="C15" s="6"/>
      <c r="D15" s="2">
        <v>10</v>
      </c>
      <c r="E15" s="2">
        <v>2</v>
      </c>
      <c r="F15" s="4">
        <f>SUM(Tabela1[[#This Row],[Quantidade]]/Tabela1[[#This Row],[Caixas]])</f>
        <v>5</v>
      </c>
      <c r="G15" s="5" t="str">
        <f>SUM($E$1:E14)+1 &amp; " - " &amp; SUM($E$2:E15)</f>
        <v>117 - 118</v>
      </c>
    </row>
    <row r="16" spans="1:7" ht="21.6" customHeight="1" x14ac:dyDescent="0.3">
      <c r="A16" s="3" t="s">
        <v>35</v>
      </c>
      <c r="B16" s="6"/>
      <c r="C16" s="6"/>
      <c r="D16" s="2">
        <v>5</v>
      </c>
      <c r="E16" s="2">
        <v>1</v>
      </c>
      <c r="F16" s="4">
        <f>SUM(Tabela1[[#This Row],[Quantidade]]/Tabela1[[#This Row],[Caixas]])</f>
        <v>5</v>
      </c>
      <c r="G16" s="5" t="str">
        <f>SUM($E$1:E15)+1 &amp; " - " &amp; SUM($E$2:E16)</f>
        <v>119 - 119</v>
      </c>
    </row>
    <row r="17" spans="1:7" ht="21.6" customHeight="1" x14ac:dyDescent="0.3">
      <c r="A17" s="3" t="s">
        <v>34</v>
      </c>
      <c r="B17" s="6"/>
      <c r="C17" s="6"/>
      <c r="D17" s="2">
        <v>20</v>
      </c>
      <c r="E17" s="2">
        <v>1</v>
      </c>
      <c r="F17" s="4">
        <f>SUM(Tabela1[[#This Row],[Quantidade]]/Tabela1[[#This Row],[Caixas]])</f>
        <v>20</v>
      </c>
      <c r="G17" s="5" t="str">
        <f>SUM($E$1:E16)+1 &amp; " - " &amp; SUM($E$2:E17)</f>
        <v>120 - 120</v>
      </c>
    </row>
    <row r="18" spans="1:7" ht="21.6" customHeight="1" x14ac:dyDescent="0.3">
      <c r="A18" s="3" t="s">
        <v>21</v>
      </c>
      <c r="B18" s="6"/>
      <c r="C18" s="6"/>
      <c r="D18" s="2">
        <v>100</v>
      </c>
      <c r="E18" s="2">
        <v>4</v>
      </c>
      <c r="F18" s="4">
        <f>SUM(Tabela1[[#This Row],[Quantidade]]/Tabela1[[#This Row],[Caixas]])</f>
        <v>25</v>
      </c>
      <c r="G18" s="5" t="str">
        <f>SUM($E$1:E17)+1 &amp; " - " &amp; SUM($E$2:E18)</f>
        <v>121 - 124</v>
      </c>
    </row>
    <row r="19" spans="1:7" ht="21.6" customHeight="1" x14ac:dyDescent="0.3">
      <c r="A19" s="3" t="s">
        <v>36</v>
      </c>
      <c r="B19" s="6"/>
      <c r="C19" s="6"/>
      <c r="D19" s="2">
        <v>10</v>
      </c>
      <c r="E19" s="2">
        <v>1</v>
      </c>
      <c r="F19" s="4">
        <f>SUM(Tabela1[[#This Row],[Quantidade]]/Tabela1[[#This Row],[Caixas]])</f>
        <v>10</v>
      </c>
      <c r="G19" s="5" t="str">
        <f>SUM($E$1:E18)+1 &amp; " - " &amp; SUM($E$2:E19)</f>
        <v>125 - 125</v>
      </c>
    </row>
    <row r="20" spans="1:7" ht="21.6" customHeight="1" x14ac:dyDescent="0.3">
      <c r="A20" s="3" t="s">
        <v>37</v>
      </c>
      <c r="B20" s="6"/>
      <c r="C20" s="6"/>
      <c r="D20" s="2">
        <v>140</v>
      </c>
      <c r="E20" s="2">
        <v>7</v>
      </c>
      <c r="F20" s="4">
        <f>SUM(Tabela1[[#This Row],[Quantidade]]/Tabela1[[#This Row],[Caixas]])</f>
        <v>20</v>
      </c>
      <c r="G20" s="5" t="str">
        <f>SUM($E$1:E19)+1 &amp; " - " &amp; SUM($E$2:E20)</f>
        <v>126 - 132</v>
      </c>
    </row>
    <row r="21" spans="1:7" ht="21.6" customHeight="1" x14ac:dyDescent="0.3">
      <c r="A21" s="3" t="s">
        <v>8</v>
      </c>
      <c r="B21" s="6"/>
      <c r="C21" s="6"/>
      <c r="D21" s="2">
        <v>6</v>
      </c>
      <c r="E21" s="2">
        <v>1</v>
      </c>
      <c r="F21" s="4">
        <f>SUM(Tabela1[[#This Row],[Quantidade]]/Tabela1[[#This Row],[Caixas]])</f>
        <v>6</v>
      </c>
      <c r="G21" s="5" t="str">
        <f>SUM($E$1:E20)+1 &amp; " - " &amp; SUM($E$2:E21)</f>
        <v>133 - 133</v>
      </c>
    </row>
    <row r="22" spans="1:7" ht="21.6" customHeight="1" x14ac:dyDescent="0.3">
      <c r="A22" s="3" t="s">
        <v>23</v>
      </c>
      <c r="B22" s="6"/>
      <c r="C22" s="6"/>
      <c r="D22" s="2">
        <v>25</v>
      </c>
      <c r="E22" s="2">
        <v>1</v>
      </c>
      <c r="F22" s="4">
        <f>SUM(Tabela1[[#This Row],[Quantidade]]/Tabela1[[#This Row],[Caixas]])</f>
        <v>25</v>
      </c>
      <c r="G22" s="5" t="str">
        <f>SUM($E$1:E21)+1 &amp; " - " &amp; SUM($E$2:E22)</f>
        <v>134 - 134</v>
      </c>
    </row>
    <row r="23" spans="1:7" ht="21.6" customHeight="1" x14ac:dyDescent="0.3">
      <c r="A23" s="3" t="s">
        <v>28</v>
      </c>
      <c r="B23" s="6"/>
      <c r="C23" s="6"/>
      <c r="D23" s="2">
        <v>50</v>
      </c>
      <c r="E23" s="2">
        <v>2</v>
      </c>
      <c r="F23" s="4">
        <f>SUM(Tabela1[[#This Row],[Quantidade]]/Tabela1[[#This Row],[Caixas]])</f>
        <v>25</v>
      </c>
      <c r="G23" s="5" t="str">
        <f>SUM($E$1:E22)+1 &amp; " - " &amp; SUM($E$2:E23)</f>
        <v>135 - 136</v>
      </c>
    </row>
    <row r="24" spans="1:7" ht="21.6" customHeight="1" x14ac:dyDescent="0.3">
      <c r="A24" s="3" t="s">
        <v>27</v>
      </c>
      <c r="B24" s="6"/>
      <c r="C24" s="6"/>
      <c r="D24" s="2">
        <v>25</v>
      </c>
      <c r="E24" s="2">
        <v>1</v>
      </c>
      <c r="F24" s="4">
        <f>SUM(Tabela1[[#This Row],[Quantidade]]/Tabela1[[#This Row],[Caixas]])</f>
        <v>25</v>
      </c>
      <c r="G24" s="5" t="str">
        <f>SUM($E$1:E23)+1 &amp; " - " &amp; SUM($E$2:E24)</f>
        <v>137 - 137</v>
      </c>
    </row>
    <row r="25" spans="1:7" ht="21.6" customHeight="1" x14ac:dyDescent="0.3">
      <c r="A25" s="3" t="s">
        <v>11</v>
      </c>
      <c r="B25" s="6"/>
      <c r="C25" s="6"/>
      <c r="D25" s="2">
        <v>30</v>
      </c>
      <c r="E25" s="2">
        <v>30</v>
      </c>
      <c r="F25" s="4">
        <f>SUM(Tabela1[[#This Row],[Quantidade]]/Tabela1[[#This Row],[Caixas]])</f>
        <v>1</v>
      </c>
      <c r="G25" s="5" t="str">
        <f>SUM($E$1:E24)+1 &amp; " - " &amp; SUM($E$2:E25)</f>
        <v>138 - 167</v>
      </c>
    </row>
    <row r="26" spans="1:7" ht="21.6" customHeight="1" x14ac:dyDescent="0.3">
      <c r="A26" s="3" t="s">
        <v>24</v>
      </c>
      <c r="B26" s="6"/>
      <c r="C26" s="6"/>
      <c r="D26" s="2">
        <v>100</v>
      </c>
      <c r="E26" s="2">
        <v>100</v>
      </c>
      <c r="F26" s="4">
        <f>SUM(Tabela1[[#This Row],[Quantidade]]/Tabela1[[#This Row],[Caixas]])</f>
        <v>1</v>
      </c>
      <c r="G26" s="5" t="str">
        <f>SUM($E$1:E25)+1 &amp; " - " &amp; SUM($E$2:E26)</f>
        <v>168 - 267</v>
      </c>
    </row>
    <row r="27" spans="1:7" ht="21.6" customHeight="1" x14ac:dyDescent="0.3">
      <c r="A27" s="3" t="s">
        <v>17</v>
      </c>
      <c r="B27" s="6"/>
      <c r="C27" s="6"/>
      <c r="D27" s="2">
        <v>24</v>
      </c>
      <c r="E27" s="2">
        <v>24</v>
      </c>
      <c r="F27" s="4">
        <f>SUM(Tabela1[[#This Row],[Quantidade]]/Tabela1[[#This Row],[Caixas]])</f>
        <v>1</v>
      </c>
      <c r="G27" s="5" t="str">
        <f>SUM($E$1:E26)+1 &amp; " - " &amp; SUM($E$2:E27)</f>
        <v>268 - 291</v>
      </c>
    </row>
    <row r="28" spans="1:7" ht="21.6" customHeight="1" x14ac:dyDescent="0.3">
      <c r="A28" s="3" t="s">
        <v>19</v>
      </c>
      <c r="B28" s="6"/>
      <c r="C28" s="6"/>
      <c r="D28" s="2">
        <v>14</v>
      </c>
      <c r="E28" s="2">
        <v>14</v>
      </c>
      <c r="F28" s="4">
        <f>SUM(Tabela1[[#This Row],[Quantidade]]/Tabela1[[#This Row],[Caixas]])</f>
        <v>1</v>
      </c>
      <c r="G28" s="5" t="str">
        <f>SUM($E$1:E27)+1 &amp; " - " &amp; SUM($E$2:E28)</f>
        <v>292 - 305</v>
      </c>
    </row>
    <row r="29" spans="1:7" ht="21.6" customHeight="1" x14ac:dyDescent="0.3">
      <c r="A29" s="3" t="s">
        <v>10</v>
      </c>
      <c r="B29" s="6"/>
      <c r="C29" s="6"/>
      <c r="D29" s="2">
        <v>240</v>
      </c>
      <c r="E29" s="2">
        <v>6</v>
      </c>
      <c r="F29" s="4">
        <f>SUM(Tabela1[[#This Row],[Quantidade]]/Tabela1[[#This Row],[Caixas]])</f>
        <v>40</v>
      </c>
      <c r="G29" s="5" t="str">
        <f>SUM($E$1:E28)+1 &amp; " - " &amp; SUM($E$2:E29)</f>
        <v>306 - 311</v>
      </c>
    </row>
    <row r="30" spans="1:7" ht="21.6" customHeight="1" x14ac:dyDescent="0.3">
      <c r="A30" s="3" t="s">
        <v>12</v>
      </c>
      <c r="B30" s="6"/>
      <c r="C30" s="6"/>
      <c r="D30" s="2">
        <v>9</v>
      </c>
      <c r="E30" s="2">
        <v>9</v>
      </c>
      <c r="F30" s="4">
        <f>SUM(Tabela1[[#This Row],[Quantidade]]/Tabela1[[#This Row],[Caixas]])</f>
        <v>1</v>
      </c>
      <c r="G30" s="5" t="str">
        <f>SUM($E$1:E29)+1 &amp; " - " &amp; SUM($E$2:E30)</f>
        <v>312 - 320</v>
      </c>
    </row>
    <row r="31" spans="1:7" ht="21.6" customHeight="1" x14ac:dyDescent="0.3">
      <c r="A31" s="3" t="s">
        <v>7</v>
      </c>
      <c r="B31" s="6"/>
      <c r="C31" s="6"/>
      <c r="D31" s="2">
        <v>100</v>
      </c>
      <c r="E31" s="2">
        <v>100</v>
      </c>
      <c r="F31" s="4">
        <f>SUM(Tabela1[[#This Row],[Quantidade]]/Tabela1[[#This Row],[Caixas]])</f>
        <v>1</v>
      </c>
      <c r="G31" s="5" t="str">
        <f>SUM($E$1:E30)+1 &amp; " - " &amp; SUM($E$2:E31)</f>
        <v>321 - 420</v>
      </c>
    </row>
    <row r="32" spans="1:7" ht="21.6" customHeight="1" x14ac:dyDescent="0.3">
      <c r="A32" s="3" t="s">
        <v>15</v>
      </c>
      <c r="B32" s="6"/>
      <c r="C32" s="6"/>
      <c r="D32" s="2">
        <v>20</v>
      </c>
      <c r="E32" s="2">
        <v>20</v>
      </c>
      <c r="F32" s="4">
        <f>SUM(Tabela1[[#This Row],[Quantidade]]/Tabela1[[#This Row],[Caixas]])</f>
        <v>1</v>
      </c>
      <c r="G32" s="5" t="str">
        <f>SUM($E$1:E31)+1 &amp; " - " &amp; SUM($E$2:E32)</f>
        <v>421 - 440</v>
      </c>
    </row>
    <row r="33" spans="1:7" ht="21.6" customHeight="1" x14ac:dyDescent="0.3">
      <c r="A33" s="3" t="s">
        <v>16</v>
      </c>
      <c r="B33" s="6"/>
      <c r="C33" s="6"/>
      <c r="D33" s="2">
        <v>3</v>
      </c>
      <c r="E33" s="2">
        <v>3</v>
      </c>
      <c r="F33" s="4">
        <f>SUM(Tabela1[[#This Row],[Quantidade]]/Tabela1[[#This Row],[Caixas]])</f>
        <v>1</v>
      </c>
      <c r="G33" s="5" t="str">
        <f>SUM($E$1:E32)+1 &amp; " - " &amp; SUM($E$2:E33)</f>
        <v>441 - 443</v>
      </c>
    </row>
    <row r="34" spans="1:7" ht="21.6" customHeight="1" x14ac:dyDescent="0.3">
      <c r="A34" s="3" t="s">
        <v>20</v>
      </c>
      <c r="B34" s="6"/>
      <c r="C34" s="6"/>
      <c r="D34" s="2">
        <v>3</v>
      </c>
      <c r="E34" s="2">
        <v>1</v>
      </c>
      <c r="F34" s="4">
        <f>SUM(Tabela1[[#This Row],[Quantidade]]/Tabela1[[#This Row],[Caixas]])</f>
        <v>3</v>
      </c>
      <c r="G34" s="5" t="str">
        <f>SUM($E$1:E33)+1 &amp; " - " &amp; SUM($E$2:E34)</f>
        <v>444 - 444</v>
      </c>
    </row>
    <row r="35" spans="1:7" ht="21.6" customHeight="1" x14ac:dyDescent="0.3">
      <c r="A35" s="3" t="s">
        <v>9</v>
      </c>
      <c r="B35" s="6"/>
      <c r="C35" s="6"/>
      <c r="D35" s="2">
        <v>24</v>
      </c>
      <c r="E35" s="2">
        <v>2</v>
      </c>
      <c r="F35" s="4">
        <f>SUM(Tabela1[[#This Row],[Quantidade]]/Tabela1[[#This Row],[Caixas]])</f>
        <v>12</v>
      </c>
      <c r="G35" s="5" t="str">
        <f>SUM($E$1:E34)+1 &amp; " - " &amp; SUM($E$2:E35)</f>
        <v>445 - 446</v>
      </c>
    </row>
    <row r="36" spans="1:7" ht="21.6" customHeight="1" x14ac:dyDescent="0.3">
      <c r="A36" s="3" t="s">
        <v>14</v>
      </c>
      <c r="B36" s="6"/>
      <c r="C36" s="6"/>
      <c r="D36" s="2">
        <v>192</v>
      </c>
      <c r="E36" s="2">
        <v>8</v>
      </c>
      <c r="F36" s="4">
        <f>SUM(Tabela1[[#This Row],[Quantidade]]/Tabela1[[#This Row],[Caixas]])</f>
        <v>24</v>
      </c>
      <c r="G36" s="5" t="str">
        <f>SUM($E$1:E35)+1 &amp; " - " &amp; SUM($E$2:E36)</f>
        <v>447 - 454</v>
      </c>
    </row>
    <row r="37" spans="1:7" ht="21.6" customHeight="1" x14ac:dyDescent="0.3">
      <c r="A37" s="3" t="s">
        <v>29</v>
      </c>
      <c r="B37" s="6"/>
      <c r="C37" s="6"/>
      <c r="D37" s="2">
        <v>10</v>
      </c>
      <c r="E37" s="2">
        <v>1</v>
      </c>
      <c r="F37" s="4">
        <f>SUM(Tabela1[[#This Row],[Quantidade]]/Tabela1[[#This Row],[Caixas]])</f>
        <v>10</v>
      </c>
      <c r="G37" s="5" t="str">
        <f>SUM($E$1:E36)+1 &amp; " - " &amp; SUM($E$2:E37)</f>
        <v>455 - 455</v>
      </c>
    </row>
    <row r="38" spans="1:7" ht="21.6" customHeight="1" x14ac:dyDescent="0.3">
      <c r="A38" s="3" t="s">
        <v>26</v>
      </c>
      <c r="B38" s="6"/>
      <c r="C38" s="6"/>
      <c r="D38" s="2">
        <v>10</v>
      </c>
      <c r="E38" s="2">
        <v>10</v>
      </c>
      <c r="F38" s="4">
        <f>SUM(Tabela1[[#This Row],[Quantidade]]/Tabela1[[#This Row],[Caixas]])</f>
        <v>1</v>
      </c>
      <c r="G38" s="5" t="str">
        <f>SUM($E$1:E37)+1 &amp; " - " &amp; SUM($E$2:E38)</f>
        <v>456 - 465</v>
      </c>
    </row>
    <row r="39" spans="1:7" ht="18" x14ac:dyDescent="0.3">
      <c r="A39" s="2" t="s">
        <v>2</v>
      </c>
      <c r="B39" s="3" t="s">
        <v>45</v>
      </c>
      <c r="C39" s="6"/>
      <c r="D39" s="2">
        <f>SUM(Tabela1[Quantidade])</f>
        <v>1919</v>
      </c>
      <c r="E39" s="2">
        <f>SUM(Tabela1[Caixas])</f>
        <v>465</v>
      </c>
      <c r="F39" s="2" t="s">
        <v>46</v>
      </c>
      <c r="G39" s="1"/>
    </row>
  </sheetData>
  <pageMargins left="0.25" right="0.25" top="0.75" bottom="0.75" header="0.3" footer="0.3"/>
  <pageSetup paperSize="9" scale="54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</dc:creator>
  <cp:lastModifiedBy>Vittor</cp:lastModifiedBy>
  <cp:lastPrinted>2026-05-27T19:07:24Z</cp:lastPrinted>
  <dcterms:created xsi:type="dcterms:W3CDTF">2025-05-13T12:10:44Z</dcterms:created>
  <dcterms:modified xsi:type="dcterms:W3CDTF">2026-06-10T11:38:36Z</dcterms:modified>
</cp:coreProperties>
</file>